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ab 3 Threat Model" sheetId="2" state="visible" r:id="rId2"/>
    <sheet xmlns:r="http://schemas.openxmlformats.org/officeDocument/2006/relationships" name="Redesign Canvas" sheetId="3" state="visible" r:id="rId3"/>
    <sheet xmlns:r="http://schemas.openxmlformats.org/officeDocument/2006/relationships" name="Guardrails" sheetId="4" state="visible" r:id="rId4"/>
    <sheet xmlns:r="http://schemas.openxmlformats.org/officeDocument/2006/relationships" name="My Assignment" sheetId="5" state="visible" r:id="rId5"/>
    <sheet xmlns:r="http://schemas.openxmlformats.org/officeDocument/2006/relationships" name="Rubric" sheetId="6" state="visible" r:id="rId6"/>
    <sheet xmlns:r="http://schemas.openxmlformats.org/officeDocument/2006/relationships" name="Evidence Log"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72B54"/>
      <sz val="16"/>
    </font>
    <font>
      <name val="Arial"/>
      <color rgb="00786D65"/>
      <sz val="10"/>
    </font>
    <font>
      <name val="Arial"/>
      <b val="1"/>
      <color rgb="00172B54"/>
      <sz val="12"/>
    </font>
    <font>
      <name val="Arial"/>
      <color rgb="00222222"/>
      <sz val="10"/>
    </font>
    <font>
      <name val="Arial"/>
      <i val="1"/>
      <color rgb="00786D65"/>
      <sz val="8"/>
    </font>
    <font>
      <name val="Arial"/>
      <b val="1"/>
      <color rgb="00172B54"/>
      <sz val="10"/>
    </font>
    <font>
      <name val="Arial"/>
      <b val="1"/>
      <color rgb="00FFFFFF"/>
      <sz val="10"/>
    </font>
    <font>
      <name val="Arial"/>
      <sz val="10"/>
    </font>
    <font>
      <name val="Arial"/>
      <b val="1"/>
      <sz val="10"/>
    </font>
    <font>
      <name val="Arial"/>
      <i val="1"/>
      <sz val="10"/>
    </font>
    <font>
      <name val="Arial"/>
      <color rgb="00172B54"/>
      <sz val="9"/>
    </font>
  </fonts>
  <fills count="6">
    <fill>
      <patternFill/>
    </fill>
    <fill>
      <patternFill patternType="gray125"/>
    </fill>
    <fill>
      <patternFill patternType="solid">
        <fgColor rgb="00B4BD00"/>
      </patternFill>
    </fill>
    <fill>
      <patternFill patternType="solid">
        <fgColor rgb="00172B54"/>
      </patternFill>
    </fill>
    <fill>
      <patternFill patternType="solid">
        <fgColor rgb="00FFFBE6"/>
      </patternFill>
    </fill>
    <fill>
      <patternFill patternType="solid">
        <fgColor rgb="00EAF1F5"/>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7" fillId="3" borderId="1" applyAlignment="1" pivotButton="0" quotePrefix="0" xfId="0">
      <alignment vertical="center" wrapText="1"/>
    </xf>
    <xf numFmtId="0" fontId="8" fillId="4" borderId="1" applyAlignment="1" pivotButton="0" quotePrefix="0" xfId="0">
      <alignment vertical="top" wrapText="1"/>
    </xf>
    <xf numFmtId="0" fontId="9" fillId="5" borderId="1" pivotButton="0" quotePrefix="0" xfId="0"/>
    <xf numFmtId="0" fontId="10" fillId="5" borderId="1" applyAlignment="1" pivotButton="0" quotePrefix="0" xfId="0">
      <alignment vertical="top" wrapText="1"/>
    </xf>
    <xf numFmtId="0" fontId="8" fillId="0" borderId="1" pivotButton="0" quotePrefix="0" xfId="0"/>
    <xf numFmtId="0" fontId="10" fillId="0" borderId="0" pivotButton="0" quotePrefix="0" xfId="0"/>
    <xf numFmtId="0" fontId="6" fillId="0" borderId="1" pivotButton="0" quotePrefix="0" xfId="0"/>
    <xf numFmtId="0" fontId="11" fillId="0" borderId="1" applyAlignment="1" pivotButton="0" quotePrefix="0" xfId="0">
      <alignment vertical="top" wrapText="1"/>
    </xf>
    <xf numFmtId="0" fontId="9" fillId="0" borderId="0" pivotButton="0" quotePrefix="0" xfId="0"/>
    <xf numFmtId="0" fontId="4" fillId="0"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1238250" cy="359092"/>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rgb="00172B54"/>
    <outlinePr summaryBelow="1" summaryRight="1"/>
    <pageSetUpPr fitToPage="1"/>
  </sheetPr>
  <dimension ref="A2:H22"/>
  <sheetViews>
    <sheetView showGridLines="0" workbookViewId="0">
      <selection activeCell="A1" sqref="A1"/>
    </sheetView>
  </sheetViews>
  <sheetFormatPr baseColWidth="8" defaultRowHeight="15"/>
  <cols>
    <col width="110" customWidth="1" min="1" max="1"/>
  </cols>
  <sheetData>
    <row r="1" ht="40" customHeight="1"/>
    <row r="2" ht="24" customHeight="1">
      <c r="A2" s="1" t="inlineStr">
        <is>
          <t>Redesign Workbook: Session 2</t>
        </is>
      </c>
    </row>
    <row r="3" ht="18" customHeight="1">
      <c r="A3" s="2" t="inlineStr">
        <is>
          <t>NITIC Working Connections, AI + Cyber · Curriculum Injection and Academic Integrity · October 30, 2026</t>
        </is>
      </c>
    </row>
    <row r="4" ht="5" customHeight="1">
      <c r="A4" s="3" t="n"/>
      <c r="B4" s="3" t="n"/>
      <c r="C4" s="3" t="n"/>
      <c r="D4" s="3" t="n"/>
      <c r="E4" s="3" t="n"/>
      <c r="F4" s="3" t="n"/>
      <c r="G4" s="3" t="n"/>
      <c r="H4" s="3" t="n"/>
    </row>
    <row r="6">
      <c r="A6" s="4" t="inlineStr">
        <is>
          <t>How to Use This Workbook</t>
        </is>
      </c>
    </row>
    <row r="7">
      <c r="A7" s="5" t="inlineStr">
        <is>
          <t>Pale yellow cells are yours to fill in. Light blue rows are worked examples; overwrite or delete them.</t>
        </is>
      </c>
    </row>
    <row r="8">
      <c r="A8" s="5" t="inlineStr">
        <is>
          <t>Dropdowns appear in columns that take a fixed set of answers (scores, yes/no, tier, verdict).</t>
        </is>
      </c>
    </row>
    <row r="9">
      <c r="A9" s="5" t="inlineStr">
        <is>
          <t>Keep your Session 1 workbook too. The Evidence Log sheet here has the same columns, so you can copy rows either way.</t>
        </is>
      </c>
    </row>
    <row r="10">
      <c r="A10" s="5" t="inlineStr"/>
    </row>
    <row r="11">
      <c r="A11" s="4" t="inlineStr">
        <is>
          <t>Sheets</t>
        </is>
      </c>
    </row>
    <row r="12">
      <c r="A12" s="5" t="inlineStr">
        <is>
          <t>Lab 3 Threat Model: predicted and observed rubric scores for the AI outputs, the false claims you disproved, the four submissions on two scales, and the verdict.</t>
        </is>
      </c>
    </row>
    <row r="13">
      <c r="A13" s="5" t="inlineStr">
        <is>
          <t>Redesign Canvas: the Module 6 redesign, sections A to I, including the rubric rewrite.</t>
        </is>
      </c>
    </row>
    <row r="14">
      <c r="A14" s="5" t="inlineStr">
        <is>
          <t>Guardrails: the seven syllabus areas, each tested against a student scenario.</t>
        </is>
      </c>
    </row>
    <row r="15">
      <c r="A15" s="5" t="inlineStr">
        <is>
          <t>My Assignment: the same canvas for one assignment of your own (Lab 4, Stage 4).</t>
        </is>
      </c>
    </row>
    <row r="16">
      <c r="A16" s="5" t="inlineStr">
        <is>
          <t>Rubric: Lab 3's four points and Lab 4's 20-point rubric with self-score cells.</t>
        </is>
      </c>
    </row>
    <row r="17">
      <c r="A17" s="5" t="inlineStr">
        <is>
          <t>Evidence Log: one row every time you accept, revise, or reject AI output. Same columns as Session 1.</t>
        </is>
      </c>
    </row>
    <row r="18">
      <c r="A18" s="5" t="inlineStr"/>
    </row>
    <row r="19">
      <c r="A19" s="4" t="inlineStr">
        <is>
          <t>Data Rule for Today</t>
        </is>
      </c>
    </row>
    <row r="20">
      <c r="A20" s="5" t="inlineStr">
        <is>
          <t>All files are synthetic. The four student submissions are fictional education records in the story: they stay on the campus AI server. Never paste real student work or names into any tool during this track.</t>
        </is>
      </c>
    </row>
    <row r="22">
      <c r="A22"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B4BD00"/>
    <outlinePr summaryBelow="1" summaryRight="1"/>
    <pageSetUpPr fitToPage="1"/>
  </sheetPr>
  <dimension ref="A2:G42"/>
  <sheetViews>
    <sheetView showGridLines="0" workbookViewId="0">
      <selection activeCell="A1" sqref="A1"/>
    </sheetView>
  </sheetViews>
  <sheetFormatPr baseColWidth="8" defaultRowHeight="15"/>
  <cols>
    <col width="34" customWidth="1" min="1" max="1"/>
    <col width="26" customWidth="1" min="2" max="2"/>
    <col width="22" customWidth="1" min="3" max="3"/>
    <col width="20" customWidth="1" min="4" max="4"/>
    <col width="22" customWidth="1" min="5" max="5"/>
    <col width="20" customWidth="1" min="6" max="6"/>
    <col width="20" customWidth="1" min="7" max="7"/>
  </cols>
  <sheetData>
    <row r="1" ht="40" customHeight="1"/>
    <row r="2" ht="24" customHeight="1">
      <c r="A2" s="1" t="inlineStr">
        <is>
          <t>Lab 3: Break the Assignment</t>
        </is>
      </c>
    </row>
    <row r="3" ht="18" customHeight="1">
      <c r="A3" s="2" t="inlineStr">
        <is>
          <t>Predict before you run. Then score what the models produced, then the four submissions.</t>
        </is>
      </c>
    </row>
    <row r="4" ht="5" customHeight="1">
      <c r="A4" s="3" t="n"/>
      <c r="B4" s="3" t="n"/>
      <c r="C4" s="3" t="n"/>
      <c r="D4" s="3" t="n"/>
      <c r="E4" s="3" t="n"/>
      <c r="F4" s="3" t="n"/>
      <c r="G4" s="3" t="n"/>
    </row>
    <row r="5">
      <c r="A5" s="7" t="inlineStr">
        <is>
          <t>A. Rubric predictions and results (5, 3, or 1 per row)</t>
        </is>
      </c>
    </row>
    <row r="6" ht="30" customHeight="1">
      <c r="A6" s="8" t="inlineStr">
        <is>
          <t>Legacy rubric row</t>
        </is>
      </c>
      <c r="B6" s="8" t="inlineStr">
        <is>
          <t>Predicted (large model)</t>
        </is>
      </c>
      <c r="C6" s="8" t="inlineStr">
        <is>
          <t>Observed: lazy prompt, small model</t>
        </is>
      </c>
      <c r="D6" s="8" t="inlineStr">
        <is>
          <t>Observed: CO-STAR prompt, large model</t>
        </is>
      </c>
      <c r="E6" s="8" t="inlineStr">
        <is>
          <t>Notes</t>
        </is>
      </c>
    </row>
    <row r="7" ht="24" customHeight="1">
      <c r="A7" s="7" t="inlineStr">
        <is>
          <t>Identifies suspicious activity</t>
        </is>
      </c>
      <c r="B7" s="9" t="n"/>
      <c r="C7" s="9" t="n"/>
      <c r="D7" s="9" t="n"/>
      <c r="E7" s="9" t="n"/>
    </row>
    <row r="8" ht="24" customHeight="1">
      <c r="A8" s="7" t="inlineStr">
        <is>
          <t>Explains the attack</t>
        </is>
      </c>
      <c r="B8" s="9" t="n"/>
      <c r="C8" s="9" t="n"/>
      <c r="D8" s="9" t="n"/>
      <c r="E8" s="9" t="n"/>
    </row>
    <row r="9" ht="24" customHeight="1">
      <c r="A9" s="7" t="inlineStr">
        <is>
          <t>Recommendations</t>
        </is>
      </c>
      <c r="B9" s="9" t="n"/>
      <c r="C9" s="9" t="n"/>
      <c r="D9" s="9" t="n"/>
      <c r="E9" s="9" t="n"/>
    </row>
    <row r="10" ht="24" customHeight="1">
      <c r="A10" s="7" t="inlineStr">
        <is>
          <t>Report quality</t>
        </is>
      </c>
      <c r="B10" s="9" t="n"/>
      <c r="C10" s="9" t="n"/>
      <c r="D10" s="9" t="n"/>
      <c r="E10" s="9" t="n"/>
    </row>
    <row r="11">
      <c r="A11" s="7" t="inlineStr">
        <is>
          <t>Total (of 20)</t>
        </is>
      </c>
      <c r="B11" s="10">
        <f>SUM(B7:B10)</f>
        <v/>
      </c>
      <c r="C11" s="10">
        <f>SUM(C7:C10)</f>
        <v/>
      </c>
      <c r="D11" s="10">
        <f>SUM(D7:D10)</f>
        <v/>
      </c>
    </row>
    <row r="13">
      <c r="A13" s="7" t="inlineStr">
        <is>
          <t>B. Competency</t>
        </is>
      </c>
    </row>
    <row r="14" ht="40" customHeight="1">
      <c r="A14" s="7" t="inlineStr">
        <is>
          <t>What the catalog promises this assignment measures</t>
        </is>
      </c>
      <c r="B14" s="9" t="n"/>
      <c r="C14" s="9" t="n"/>
      <c r="D14" s="9" t="n"/>
      <c r="E14" s="9" t="n"/>
    </row>
    <row r="15" ht="40" customHeight="1">
      <c r="A15" s="7" t="inlineStr">
        <is>
          <t>What the legacy rubric actually rewards</t>
        </is>
      </c>
      <c r="B15" s="9" t="n"/>
      <c r="C15" s="9" t="n"/>
      <c r="D15" s="9" t="n"/>
      <c r="E15" s="9" t="n"/>
    </row>
    <row r="17">
      <c r="A17" s="7" t="inlineStr">
        <is>
          <t>C. False or unsupported claims in the AI outputs (the Checker's list)</t>
        </is>
      </c>
    </row>
    <row r="18" ht="30" customHeight="1">
      <c r="A18" s="8" t="inlineStr">
        <is>
          <t>Claim as the model wrote it</t>
        </is>
      </c>
      <c r="B18" s="8" t="inlineStr">
        <is>
          <t>From which output</t>
        </is>
      </c>
      <c r="C18" s="8" t="inlineStr">
        <is>
          <t>Command that disproves it</t>
        </is>
      </c>
      <c r="D18" s="8" t="inlineStr">
        <is>
          <t>What the log actually shows</t>
        </is>
      </c>
      <c r="E18" s="8" t="inlineStr">
        <is>
          <t>Type</t>
        </is>
      </c>
    </row>
    <row r="19" ht="44" customHeight="1">
      <c r="A19" s="11" t="inlineStr">
        <is>
          <t>an internal host, 192.168.1.105, communicating with the domain controller</t>
        </is>
      </c>
      <c r="B19" s="11" t="inlineStr">
        <is>
          <t>CO-STAR, large</t>
        </is>
      </c>
      <c r="C19" s="11" t="inlineStr">
        <is>
          <t>grep -c 192.168.1.105 nbtc-fw01_excerpt.log</t>
        </is>
      </c>
      <c r="D19" s="11" t="inlineStr">
        <is>
          <t>0 lines; the Kerberos traffic is from 10.20.8.40 and 10.30.12.118</t>
        </is>
      </c>
      <c r="E19" s="11" t="inlineStr">
        <is>
          <t>Invented IP</t>
        </is>
      </c>
    </row>
    <row r="20">
      <c r="A20" s="9" t="n"/>
      <c r="B20" s="9" t="n"/>
      <c r="C20" s="9" t="n"/>
      <c r="D20" s="9" t="n"/>
      <c r="E20" s="9" t="n"/>
    </row>
    <row r="21">
      <c r="A21" s="9" t="n"/>
      <c r="B21" s="9" t="n"/>
      <c r="C21" s="9" t="n"/>
      <c r="D21" s="9" t="n"/>
      <c r="E21" s="9" t="n"/>
    </row>
    <row r="22">
      <c r="A22" s="9" t="n"/>
      <c r="B22" s="9" t="n"/>
      <c r="C22" s="9" t="n"/>
      <c r="D22" s="9" t="n"/>
      <c r="E22" s="9" t="n"/>
    </row>
    <row r="23">
      <c r="A23" s="9" t="n"/>
      <c r="B23" s="9" t="n"/>
      <c r="C23" s="9" t="n"/>
      <c r="D23" s="9" t="n"/>
      <c r="E23" s="9" t="n"/>
    </row>
    <row r="24">
      <c r="A24" s="9" t="n"/>
      <c r="B24" s="9" t="n"/>
      <c r="C24" s="9" t="n"/>
      <c r="D24" s="9" t="n"/>
      <c r="E24" s="9" t="n"/>
    </row>
    <row r="25">
      <c r="A25" s="9" t="n"/>
      <c r="B25" s="9" t="n"/>
      <c r="C25" s="9" t="n"/>
      <c r="D25" s="9" t="n"/>
      <c r="E25" s="9" t="n"/>
    </row>
    <row r="26">
      <c r="A26" s="9" t="n"/>
      <c r="B26" s="9" t="n"/>
      <c r="C26" s="9" t="n"/>
      <c r="D26" s="9" t="n"/>
      <c r="E26" s="9" t="n"/>
    </row>
    <row r="27">
      <c r="A27" s="9" t="n"/>
      <c r="B27" s="9" t="n"/>
      <c r="C27" s="9" t="n"/>
      <c r="D27" s="9" t="n"/>
      <c r="E27" s="9" t="n"/>
    </row>
    <row r="29">
      <c r="A29" s="7" t="inlineStr">
        <is>
          <t>D. The four submissions</t>
        </is>
      </c>
    </row>
    <row r="30" ht="30" customHeight="1">
      <c r="A30" s="8" t="inlineStr">
        <is>
          <t>Submission</t>
        </is>
      </c>
      <c r="B30" s="8" t="inlineStr">
        <is>
          <t>Legacy rubric: identifies / explains / recommends / quality / total</t>
        </is>
      </c>
      <c r="C30" s="8" t="inlineStr">
        <is>
          <t>Found and prioritized 10.30.12.118 to sis-db01:1433?</t>
        </is>
      </c>
      <c r="D30" s="8" t="inlineStr">
        <is>
          <t>No facts outside the log?</t>
        </is>
      </c>
      <c r="E30" s="8" t="inlineStr">
        <is>
          <t>States what the log cannot show?</t>
        </is>
      </c>
      <c r="F30" s="8" t="inlineStr">
        <is>
          <t>Team guess (AI / Human / Hybrid)</t>
        </is>
      </c>
      <c r="G30" s="8" t="inlineStr">
        <is>
          <t>Facilitator reveal</t>
        </is>
      </c>
    </row>
    <row r="31" ht="30" customHeight="1">
      <c r="A31" s="7" t="inlineStr">
        <is>
          <t>A: Delgado</t>
        </is>
      </c>
      <c r="B31" s="9" t="n"/>
      <c r="C31" s="9" t="n"/>
      <c r="D31" s="9" t="n"/>
      <c r="E31" s="9" t="n"/>
      <c r="F31" s="9" t="n"/>
      <c r="G31" s="9" t="n"/>
    </row>
    <row r="32" ht="30" customHeight="1">
      <c r="A32" s="7" t="inlineStr">
        <is>
          <t>B: Nair</t>
        </is>
      </c>
      <c r="B32" s="9" t="n"/>
      <c r="C32" s="9" t="n"/>
      <c r="D32" s="9" t="n"/>
      <c r="E32" s="9" t="n"/>
      <c r="F32" s="9" t="n"/>
      <c r="G32" s="9" t="n"/>
    </row>
    <row r="33" ht="30" customHeight="1">
      <c r="A33" s="7" t="inlineStr">
        <is>
          <t>C: Ferreira</t>
        </is>
      </c>
      <c r="B33" s="9" t="n"/>
      <c r="C33" s="9" t="n"/>
      <c r="D33" s="9" t="n"/>
      <c r="E33" s="9" t="n"/>
      <c r="F33" s="9" t="n"/>
      <c r="G33" s="9" t="n"/>
    </row>
    <row r="34" ht="30" customHeight="1">
      <c r="A34" s="7" t="inlineStr">
        <is>
          <t>D: Kowalski</t>
        </is>
      </c>
      <c r="B34" s="9" t="n"/>
      <c r="C34" s="9" t="n"/>
      <c r="D34" s="9" t="n"/>
      <c r="E34" s="9" t="n"/>
      <c r="F34" s="9" t="n"/>
      <c r="G34" s="9" t="n"/>
    </row>
    <row r="35">
      <c r="A35" s="7" t="inlineStr">
        <is>
          <t>Guesses correct (fill after the reveal)</t>
        </is>
      </c>
      <c r="B35" s="10">
        <f>SUMPRODUCT((F31:F34=G31:G34)*(G31:G34&lt;&gt;""))&amp;" of 4"</f>
        <v/>
      </c>
    </row>
    <row r="37">
      <c r="A37" s="7" t="inlineStr">
        <is>
          <t>E. Verdict</t>
        </is>
      </c>
    </row>
    <row r="38" ht="36" customHeight="1">
      <c r="A38" s="7" t="inlineStr">
        <is>
          <t>The legacy assignment claims to measure</t>
        </is>
      </c>
      <c r="B38" s="9" t="n"/>
      <c r="C38" s="9" t="n"/>
      <c r="D38" s="9" t="n"/>
      <c r="E38" s="9" t="n"/>
      <c r="F38" s="9" t="n"/>
      <c r="G38" s="9" t="n"/>
    </row>
    <row r="39" ht="36" customHeight="1">
      <c r="A39" s="7" t="inlineStr">
        <is>
          <t>The legacy assignment actually measures</t>
        </is>
      </c>
      <c r="B39" s="9" t="n"/>
      <c r="C39" s="9" t="n"/>
      <c r="D39" s="9" t="n"/>
      <c r="E39" s="9" t="n"/>
      <c r="F39" s="9" t="n"/>
      <c r="G39" s="9" t="n"/>
    </row>
    <row r="40" ht="36" customHeight="1">
      <c r="A40" s="7" t="inlineStr">
        <is>
          <t>One sentence for the department chair</t>
        </is>
      </c>
      <c r="B40" s="9" t="n"/>
      <c r="C40" s="9" t="n"/>
      <c r="D40" s="9" t="n"/>
      <c r="E40" s="9" t="n"/>
      <c r="F40" s="9" t="n"/>
      <c r="G40" s="9" t="n"/>
    </row>
    <row r="42">
      <c r="A42"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mergeCells count="5">
    <mergeCell ref="B38:G38"/>
    <mergeCell ref="B15:E15"/>
    <mergeCell ref="B40:G40"/>
    <mergeCell ref="B39:G39"/>
    <mergeCell ref="B14:E14"/>
  </mergeCells>
  <dataValidations count="4">
    <dataValidation sqref="B7:D10" showDropDown="0" showInputMessage="0" showErrorMessage="0" allowBlank="1" type="list">
      <formula1>"5,3,1"</formula1>
    </dataValidation>
    <dataValidation sqref="E19:E27" showDropDown="0" showInputMessage="0" showErrorMessage="0" allowBlank="1" type="list">
      <formula1>"Invented IP or host,Wrong count,Unsupported login claim,Invented reputation,Missed finding,Other"</formula1>
    </dataValidation>
    <dataValidation sqref="C31:E34" showDropDown="0" showInputMessage="0" showErrorMessage="0" allowBlank="1" type="list">
      <formula1>"Yes,No,Partly"</formula1>
    </dataValidation>
    <dataValidation sqref="F31:G34" showDropDown="0" showInputMessage="0" showErrorMessage="0" allowBlank="1" type="list">
      <formula1>"AI,Human,Hybrid"</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B4BD00"/>
    <outlinePr summaryBelow="1" summaryRight="1"/>
    <pageSetUpPr fitToPage="1"/>
  </sheetPr>
  <dimension ref="A2:D31"/>
  <sheetViews>
    <sheetView showGridLines="0" workbookViewId="0">
      <selection activeCell="A1" sqref="A1"/>
    </sheetView>
  </sheetViews>
  <sheetFormatPr baseColWidth="8" defaultRowHeight="15"/>
  <cols>
    <col width="46" customWidth="1" min="1" max="1"/>
    <col width="95" customWidth="1" min="2" max="2"/>
    <col width="12" customWidth="1" min="3" max="3"/>
    <col width="40" customWidth="1" min="4" max="4"/>
  </cols>
  <sheetData>
    <row r="1" ht="40" customHeight="1"/>
    <row r="2" ht="24" customHeight="1">
      <c r="A2" s="1" t="inlineStr">
        <is>
          <t>Lab 4: Module 6 Redesign Canvas</t>
        </is>
      </c>
    </row>
    <row r="3" ht="18" customHeight="1">
      <c r="A3" s="2" t="inlineStr">
        <is>
          <t>Sections A to I from lab4/redesign_canvas.md. Fill C and E first if time is short.</t>
        </is>
      </c>
    </row>
    <row r="4" ht="5" customHeight="1">
      <c r="A4" s="3" t="n"/>
      <c r="B4" s="3" t="n"/>
      <c r="C4" s="3" t="n"/>
      <c r="D4" s="3" t="n"/>
    </row>
    <row r="5">
      <c r="A5" s="7" t="inlineStr">
        <is>
          <t>Assignment</t>
        </is>
      </c>
      <c r="B5" s="12" t="inlineStr">
        <is>
          <t>CYB 110 Module 6: Firewall Log Review and Incident Report</t>
        </is>
      </c>
    </row>
    <row r="6" ht="40" customHeight="1">
      <c r="A6" s="7" t="inlineStr">
        <is>
          <t>A. Competency the catalog or outcome promises</t>
        </is>
      </c>
      <c r="B6" s="9" t="n"/>
    </row>
    <row r="7" ht="40" customHeight="1">
      <c r="A7" s="7" t="inlineStr">
        <is>
          <t>A. What the legacy version actually measures (from Lab 3)</t>
        </is>
      </c>
      <c r="B7" s="9" t="n"/>
    </row>
    <row r="8" ht="40" customHeight="1">
      <c r="A8" s="7" t="inlineStr">
        <is>
          <t>B. AIAS level (1 to 5) and lane (secured / open), with the one-sentence reason</t>
        </is>
      </c>
      <c r="B8" s="9" t="n"/>
    </row>
    <row r="9" ht="50" customHeight="1">
      <c r="A9" s="7" t="inlineStr">
        <is>
          <t>B. What the assignment text tells students AI may and may not do here</t>
        </is>
      </c>
      <c r="B9" s="9" t="n"/>
    </row>
    <row r="10" ht="50" customHeight="1">
      <c r="A10" s="7" t="inlineStr">
        <is>
          <t>C. The real artifact a professional produces (not 'a report')</t>
        </is>
      </c>
      <c r="B10" s="9" t="n"/>
    </row>
    <row r="11" ht="40" customHeight="1">
      <c r="A11" s="7" t="inlineStr">
        <is>
          <t>C. Audience and the constraint that makes the decision matter</t>
        </is>
      </c>
      <c r="B11" s="9" t="n"/>
    </row>
    <row r="12" ht="40" customHeight="1">
      <c r="A12" s="7" t="inlineStr">
        <is>
          <t>C. What is unique per student (seeded data, role, date, own machine)</t>
        </is>
      </c>
      <c r="B12" s="9" t="n"/>
    </row>
    <row r="13" ht="40" customHeight="1">
      <c r="A13" s="7" t="inlineStr">
        <is>
          <t>D. The decision with two defensible answers</t>
        </is>
      </c>
      <c r="B13" s="9" t="n"/>
    </row>
    <row r="14" ht="40" customHeight="1">
      <c r="A14" s="7" t="inlineStr">
        <is>
          <t>D. How the rubric rewards the justification rather than the answer</t>
        </is>
      </c>
      <c r="B14" s="9" t="n"/>
    </row>
    <row r="15" ht="50" customHeight="1">
      <c r="A15" s="7" t="inlineStr">
        <is>
          <t>E. Process evidence submitted besides the product</t>
        </is>
      </c>
      <c r="B15" s="9" t="n"/>
    </row>
    <row r="16" ht="40" customHeight="1">
      <c r="A16" s="7" t="inlineStr">
        <is>
          <t>E. How it is kept (where, how long, format) and when it is reviewed (always, sample, on concern)</t>
        </is>
      </c>
      <c r="B16" s="9" t="n"/>
    </row>
    <row r="17" ht="50" customHeight="1">
      <c r="A17" s="7" t="inlineStr">
        <is>
          <t>F. Technical validation step: what the student proves works, and how</t>
        </is>
      </c>
      <c r="B17" s="9" t="n"/>
    </row>
    <row r="18" ht="40" customHeight="1">
      <c r="A18" s="7" t="inlineStr">
        <is>
          <t>F. What the validation output looks like and how it is graded</t>
        </is>
      </c>
      <c r="B18" s="9" t="n"/>
    </row>
    <row r="19" ht="40" customHeight="1">
      <c r="A19" s="7" t="inlineStr">
        <is>
          <t>G. The accountability moment (oral check-in, live walkthrough, checkpoint)</t>
        </is>
      </c>
      <c r="B19" s="9" t="n"/>
    </row>
    <row r="20" ht="70" customHeight="1">
      <c r="A20" s="7" t="inlineStr">
        <is>
          <t>G. Three questions only the author could answer well</t>
        </is>
      </c>
      <c r="B20" s="9" t="n"/>
    </row>
    <row r="21" ht="60" customHeight="1">
      <c r="A21" s="7" t="inlineStr">
        <is>
          <t>I. Cost check: instructor minutes per student before and after; what is sampled, moved to class time, or automated locally</t>
        </is>
      </c>
      <c r="B21" s="9" t="n"/>
    </row>
    <row r="23">
      <c r="A23" s="7" t="inlineStr">
        <is>
          <t>H. Rubric rewrite (20 points)</t>
        </is>
      </c>
    </row>
    <row r="24" ht="30" customHeight="1">
      <c r="A24" s="8" t="inlineStr">
        <is>
          <t>Legacy criterion</t>
        </is>
      </c>
      <c r="B24" s="8" t="inlineStr">
        <is>
          <t>Redesigned criterion</t>
        </is>
      </c>
      <c r="C24" s="8" t="inlineStr">
        <is>
          <t>Points</t>
        </is>
      </c>
      <c r="D24" s="8" t="inlineStr">
        <is>
          <t>What full credit looks like</t>
        </is>
      </c>
    </row>
    <row r="25" ht="50" customHeight="1">
      <c r="A25" s="7" t="inlineStr">
        <is>
          <t>Identifies suspicious activity</t>
        </is>
      </c>
      <c r="B25" s="9" t="n"/>
      <c r="C25" s="9" t="n"/>
      <c r="D25" s="9" t="n"/>
    </row>
    <row r="26" ht="50" customHeight="1">
      <c r="A26" s="7" t="inlineStr">
        <is>
          <t>Explains the attack</t>
        </is>
      </c>
      <c r="B26" s="9" t="n"/>
      <c r="C26" s="9" t="n"/>
      <c r="D26" s="9" t="n"/>
    </row>
    <row r="27" ht="50" customHeight="1">
      <c r="A27" s="7" t="inlineStr">
        <is>
          <t>Recommendations</t>
        </is>
      </c>
      <c r="B27" s="9" t="n"/>
      <c r="C27" s="9" t="n"/>
      <c r="D27" s="9" t="n"/>
    </row>
    <row r="28" ht="50" customHeight="1">
      <c r="A28" s="7" t="inlineStr">
        <is>
          <t>Report quality</t>
        </is>
      </c>
      <c r="B28" s="9" t="n"/>
      <c r="C28" s="9" t="n"/>
      <c r="D28" s="9" t="n"/>
    </row>
    <row r="29">
      <c r="A29" s="7" t="inlineStr">
        <is>
          <t>Total</t>
        </is>
      </c>
      <c r="C29" s="10">
        <f>SUM(C25:C28)</f>
        <v/>
      </c>
      <c r="D29" s="13">
        <f>IF(C29=20,"20 points","Must total 20")</f>
        <v/>
      </c>
    </row>
    <row r="31">
      <c r="A31"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B4BD00"/>
    <outlinePr summaryBelow="1" summaryRight="1"/>
    <pageSetUpPr fitToPage="1"/>
  </sheetPr>
  <dimension ref="A2:F18"/>
  <sheetViews>
    <sheetView showGridLines="0" workbookViewId="0">
      <selection activeCell="A1" sqref="A1"/>
    </sheetView>
  </sheetViews>
  <sheetFormatPr baseColWidth="8" defaultRowHeight="15"/>
  <cols>
    <col width="4" customWidth="1" min="1" max="1"/>
    <col width="22" customWidth="1" min="2" max="2"/>
    <col width="80" customWidth="1" min="3" max="3"/>
    <col width="12" customWidth="1" min="4" max="4"/>
    <col width="16" customWidth="1" min="5" max="5"/>
    <col width="40" customWidth="1" min="6" max="6"/>
  </cols>
  <sheetData>
    <row r="1" ht="40" customHeight="1"/>
    <row r="2" ht="24" customHeight="1">
      <c r="A2" s="1" t="inlineStr">
        <is>
          <t>Lab 4, Stage 3: Syllabus Guardrails</t>
        </is>
      </c>
    </row>
    <row r="3" ht="18" customHeight="1">
      <c r="A3" s="2" t="inlineStr">
        <is>
          <t>Draft each area in two to five sentences a student can act on. Test each against a scenario.</t>
        </is>
      </c>
    </row>
    <row r="4" ht="5" customHeight="1">
      <c r="A4" s="3" t="n"/>
      <c r="B4" s="3" t="n"/>
      <c r="C4" s="3" t="n"/>
      <c r="D4" s="3" t="n"/>
      <c r="E4" s="3" t="n"/>
      <c r="F4" s="3" t="n"/>
    </row>
    <row r="5" ht="30" customHeight="1">
      <c r="A5" s="8" t="inlineStr">
        <is>
          <t>#</t>
        </is>
      </c>
      <c r="B5" s="8" t="inlineStr">
        <is>
          <t>Area</t>
        </is>
      </c>
      <c r="C5" s="8" t="inlineStr">
        <is>
          <t>Draft (student-facing text)</t>
        </is>
      </c>
      <c r="D5" s="8" t="inlineStr">
        <is>
          <t>Scenario tested (1 to 8)</t>
        </is>
      </c>
      <c r="E5" s="8" t="inlineStr">
        <is>
          <t>Result</t>
        </is>
      </c>
      <c r="F5" s="8" t="inlineStr">
        <is>
          <t>Revision made or law touched</t>
        </is>
      </c>
    </row>
    <row r="6" ht="96" customHeight="1">
      <c r="A6" s="14" t="n">
        <v>1</v>
      </c>
      <c r="B6" s="15" t="inlineStr">
        <is>
          <t>Acceptable AI use
(Which uses are allowed and which are not; how a student finds out the lane for a specific assignment)</t>
        </is>
      </c>
      <c r="C6" s="9" t="n"/>
      <c r="D6" s="9" t="n"/>
      <c r="E6" s="9" t="n"/>
      <c r="F6" s="9" t="n"/>
    </row>
    <row r="7" ht="96" customHeight="1">
      <c r="A7" s="14" t="n">
        <v>2</v>
      </c>
      <c r="B7" s="15" t="inlineStr">
        <is>
          <t>Attribution
(How AI contributions are credited (in-text, footnote, appendix); which style guide)</t>
        </is>
      </c>
      <c r="C7" s="9" t="n"/>
      <c r="D7" s="9" t="n"/>
      <c r="E7" s="9" t="n"/>
      <c r="F7" s="9" t="n"/>
    </row>
    <row r="8" ht="96" customHeight="1">
      <c r="A8" s="14" t="n">
        <v>3</v>
      </c>
      <c r="B8" s="15" t="inlineStr">
        <is>
          <t>Disclosure
(What a student states about tools, purpose, extent, and oversight; where; what happens without it)</t>
        </is>
      </c>
      <c r="C8" s="9" t="n"/>
      <c r="D8" s="9" t="n"/>
      <c r="E8" s="9" t="n"/>
      <c r="F8" s="9" t="n"/>
    </row>
    <row r="9" ht="96" customHeight="1">
      <c r="A9" s="14" t="n">
        <v>4</v>
      </c>
      <c r="B9" s="15" t="inlineStr">
        <is>
          <t>Prohibited data
(What students may never paste into a tool; which environments are approved; consistent with the interim data policy)</t>
        </is>
      </c>
      <c r="C9" s="9" t="n"/>
      <c r="D9" s="9" t="n"/>
      <c r="E9" s="9" t="n"/>
      <c r="F9" s="9" t="n"/>
    </row>
    <row r="10" ht="96" customHeight="1">
      <c r="A10" s="14" t="n">
        <v>5</v>
      </c>
      <c r="B10" s="15" t="inlineStr">
        <is>
          <t>Evidence retention
(What process evidence students keep, how long, in what form, when it may be requested)</t>
        </is>
      </c>
      <c r="C10" s="9" t="n"/>
      <c r="D10" s="9" t="n"/>
      <c r="E10" s="9" t="n"/>
      <c r="F10" s="9" t="n"/>
    </row>
    <row r="11" ht="96" customHeight="1">
      <c r="A11" s="14" t="n">
        <v>6</v>
      </c>
      <c r="B11" s="15" t="inlineStr">
        <is>
          <t>Accessibility
(How approved assistive technology and accommodations relate to the AI rules; who decides; a private way to ask)</t>
        </is>
      </c>
      <c r="C11" s="9" t="n"/>
      <c r="D11" s="9" t="n"/>
      <c r="E11" s="9" t="n"/>
      <c r="F11" s="9" t="n"/>
    </row>
    <row r="12" ht="96" customHeight="1">
      <c r="A12" s="14" t="n">
        <v>7</v>
      </c>
      <c r="B12" s="15" t="inlineStr">
        <is>
          <t>Academic integrity
(What counts as a violation; how a concern is raised; what evidence is and is not relied on; the chance to respond; consequences)</t>
        </is>
      </c>
      <c r="C12" s="9" t="n"/>
      <c r="D12" s="9" t="n"/>
      <c r="E12" s="9" t="n"/>
      <c r="F12" s="9" t="n"/>
    </row>
    <row r="14">
      <c r="B14" s="7" t="inlineStr">
        <is>
          <t>Areas tested against a scenario</t>
        </is>
      </c>
      <c r="C14" s="16">
        <f>COUNTA(D6:D12)&amp;" of 7"</f>
        <v/>
      </c>
    </row>
    <row r="15">
      <c r="B15" s="7" t="inlineStr">
        <is>
          <t>Checked against the interim AI data policy (areas 4 and 7)</t>
        </is>
      </c>
      <c r="C15" s="9" t="n"/>
    </row>
    <row r="16">
      <c r="B16" s="7" t="inlineStr">
        <is>
          <t>Area 6 gives a student a way to ask about assistive technology without disclosing to the class</t>
        </is>
      </c>
      <c r="C16" s="9" t="n"/>
    </row>
    <row r="18">
      <c r="A18"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dataValidations count="3">
    <dataValidation sqref="E6:E12" showDropDown="0" showInputMessage="0" showErrorMessage="0" allowBlank="1" type="list">
      <formula1>"Held,Needs revision,Revised"</formula1>
    </dataValidation>
    <dataValidation sqref="D6:D12" showDropDown="0" showInputMessage="0" showErrorMessage="0" allowBlank="1" type="list">
      <formula1>"1,2,3,4,5,6,7,8"</formula1>
    </dataValidation>
    <dataValidation sqref="C15 C16" showDropDown="0" showInputMessage="0" showErrorMessage="0" allowBlank="1" type="list">
      <formula1>"Yes,No"</formula1>
    </dataValidation>
  </dataValidation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B4BD00"/>
    <outlinePr summaryBelow="1" summaryRight="1"/>
    <pageSetUpPr fitToPage="1"/>
  </sheetPr>
  <dimension ref="A2:D31"/>
  <sheetViews>
    <sheetView showGridLines="0" workbookViewId="0">
      <selection activeCell="A1" sqref="A1"/>
    </sheetView>
  </sheetViews>
  <sheetFormatPr baseColWidth="8" defaultRowHeight="15"/>
  <cols>
    <col width="46" customWidth="1" min="1" max="1"/>
    <col width="95" customWidth="1" min="2" max="2"/>
    <col width="12" customWidth="1" min="3" max="3"/>
    <col width="40" customWidth="1" min="4" max="4"/>
  </cols>
  <sheetData>
    <row r="1" ht="40" customHeight="1"/>
    <row r="2" ht="24" customHeight="1">
      <c r="A2" s="1" t="inlineStr">
        <is>
          <t>Lab 4, Stage 4: Your Own Assignment</t>
        </is>
      </c>
    </row>
    <row r="3" ht="18" customHeight="1">
      <c r="A3" s="2" t="inlineStr">
        <is>
          <t>Sections A to I from lab4/redesign_canvas.md. Fill C and E first if time is short.</t>
        </is>
      </c>
    </row>
    <row r="4" ht="5" customHeight="1">
      <c r="A4" s="3" t="n"/>
      <c r="B4" s="3" t="n"/>
      <c r="C4" s="3" t="n"/>
      <c r="D4" s="3" t="n"/>
    </row>
    <row r="5">
      <c r="A5" s="7" t="inlineStr">
        <is>
          <t>Assignment</t>
        </is>
      </c>
      <c r="B5" s="9" t="inlineStr"/>
    </row>
    <row r="6" ht="40" customHeight="1">
      <c r="A6" s="7" t="inlineStr">
        <is>
          <t>A. Competency the catalog or outcome promises</t>
        </is>
      </c>
      <c r="B6" s="9" t="n"/>
    </row>
    <row r="7" ht="40" customHeight="1">
      <c r="A7" s="7" t="inlineStr">
        <is>
          <t>A. What the legacy version actually measures (from Lab 3)</t>
        </is>
      </c>
      <c r="B7" s="9" t="n"/>
    </row>
    <row r="8" ht="40" customHeight="1">
      <c r="A8" s="7" t="inlineStr">
        <is>
          <t>B. AIAS level (1 to 5) and lane (secured / open), with the one-sentence reason</t>
        </is>
      </c>
      <c r="B8" s="9" t="n"/>
    </row>
    <row r="9" ht="50" customHeight="1">
      <c r="A9" s="7" t="inlineStr">
        <is>
          <t>B. What the assignment text tells students AI may and may not do here</t>
        </is>
      </c>
      <c r="B9" s="9" t="n"/>
    </row>
    <row r="10" ht="50" customHeight="1">
      <c r="A10" s="7" t="inlineStr">
        <is>
          <t>C. The real artifact a professional produces (not 'a report')</t>
        </is>
      </c>
      <c r="B10" s="9" t="n"/>
    </row>
    <row r="11" ht="40" customHeight="1">
      <c r="A11" s="7" t="inlineStr">
        <is>
          <t>C. Audience and the constraint that makes the decision matter</t>
        </is>
      </c>
      <c r="B11" s="9" t="n"/>
    </row>
    <row r="12" ht="40" customHeight="1">
      <c r="A12" s="7" t="inlineStr">
        <is>
          <t>C. What is unique per student (seeded data, role, date, own machine)</t>
        </is>
      </c>
      <c r="B12" s="9" t="n"/>
    </row>
    <row r="13" ht="40" customHeight="1">
      <c r="A13" s="7" t="inlineStr">
        <is>
          <t>D. The decision with two defensible answers</t>
        </is>
      </c>
      <c r="B13" s="9" t="n"/>
    </row>
    <row r="14" ht="40" customHeight="1">
      <c r="A14" s="7" t="inlineStr">
        <is>
          <t>D. How the rubric rewards the justification rather than the answer</t>
        </is>
      </c>
      <c r="B14" s="9" t="n"/>
    </row>
    <row r="15" ht="50" customHeight="1">
      <c r="A15" s="7" t="inlineStr">
        <is>
          <t>E. Process evidence submitted besides the product</t>
        </is>
      </c>
      <c r="B15" s="9" t="n"/>
    </row>
    <row r="16" ht="40" customHeight="1">
      <c r="A16" s="7" t="inlineStr">
        <is>
          <t>E. How it is kept (where, how long, format) and when it is reviewed (always, sample, on concern)</t>
        </is>
      </c>
      <c r="B16" s="9" t="n"/>
    </row>
    <row r="17" ht="50" customHeight="1">
      <c r="A17" s="7" t="inlineStr">
        <is>
          <t>F. Technical validation step: what the student proves works, and how</t>
        </is>
      </c>
      <c r="B17" s="9" t="n"/>
    </row>
    <row r="18" ht="40" customHeight="1">
      <c r="A18" s="7" t="inlineStr">
        <is>
          <t>F. What the validation output looks like and how it is graded</t>
        </is>
      </c>
      <c r="B18" s="9" t="n"/>
    </row>
    <row r="19" ht="40" customHeight="1">
      <c r="A19" s="7" t="inlineStr">
        <is>
          <t>G. The accountability moment (oral check-in, live walkthrough, checkpoint)</t>
        </is>
      </c>
      <c r="B19" s="9" t="n"/>
    </row>
    <row r="20" ht="70" customHeight="1">
      <c r="A20" s="7" t="inlineStr">
        <is>
          <t>G. Three questions only the author could answer well</t>
        </is>
      </c>
      <c r="B20" s="9" t="n"/>
    </row>
    <row r="21" ht="60" customHeight="1">
      <c r="A21" s="7" t="inlineStr">
        <is>
          <t>I. Cost check: instructor minutes per student before and after; what is sampled, moved to class time, or automated locally</t>
        </is>
      </c>
      <c r="B21" s="9" t="n"/>
    </row>
    <row r="23">
      <c r="A23" s="7" t="inlineStr">
        <is>
          <t>H. Rubric rewrite (20 points)</t>
        </is>
      </c>
    </row>
    <row r="24" ht="30" customHeight="1">
      <c r="A24" s="8" t="inlineStr">
        <is>
          <t>Legacy criterion</t>
        </is>
      </c>
      <c r="B24" s="8" t="inlineStr">
        <is>
          <t>Redesigned criterion</t>
        </is>
      </c>
      <c r="C24" s="8" t="inlineStr">
        <is>
          <t>Points</t>
        </is>
      </c>
      <c r="D24" s="8" t="inlineStr">
        <is>
          <t>What full credit looks like</t>
        </is>
      </c>
    </row>
    <row r="25" ht="50" customHeight="1">
      <c r="A25" s="9" t="n"/>
      <c r="B25" s="9" t="n"/>
      <c r="C25" s="9" t="n"/>
      <c r="D25" s="9" t="n"/>
    </row>
    <row r="26" ht="50" customHeight="1">
      <c r="A26" s="9" t="n"/>
      <c r="B26" s="9" t="n"/>
      <c r="C26" s="9" t="n"/>
      <c r="D26" s="9" t="n"/>
    </row>
    <row r="27" ht="50" customHeight="1">
      <c r="A27" s="9" t="n"/>
      <c r="B27" s="9" t="n"/>
      <c r="C27" s="9" t="n"/>
      <c r="D27" s="9" t="n"/>
    </row>
    <row r="28" ht="50" customHeight="1">
      <c r="A28" s="9" t="n"/>
      <c r="B28" s="9" t="n"/>
      <c r="C28" s="9" t="n"/>
      <c r="D28" s="9" t="n"/>
    </row>
    <row r="29">
      <c r="A29" s="7" t="inlineStr">
        <is>
          <t>Total</t>
        </is>
      </c>
      <c r="C29" s="10">
        <f>SUM(C25:C28)</f>
        <v/>
      </c>
      <c r="D29" s="13">
        <f>IF(C29=20,"20 points","Must total 20")</f>
        <v/>
      </c>
    </row>
    <row r="31">
      <c r="A31"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B4BD00"/>
    <outlinePr summaryBelow="1" summaryRight="1"/>
    <pageSetUpPr fitToPage="1"/>
  </sheetPr>
  <dimension ref="A2:E19"/>
  <sheetViews>
    <sheetView showGridLines="0" workbookViewId="0">
      <selection activeCell="A1" sqref="A1"/>
    </sheetView>
  </sheetViews>
  <sheetFormatPr baseColWidth="8" defaultRowHeight="15"/>
  <cols>
    <col width="30" customWidth="1" min="1" max="1"/>
    <col width="80" customWidth="1" min="2" max="2"/>
    <col width="9" customWidth="1" min="3" max="3"/>
    <col width="12" customWidth="1" min="4" max="4"/>
    <col width="16" customWidth="1" min="5" max="5"/>
  </cols>
  <sheetData>
    <row r="1" ht="40" customHeight="1"/>
    <row r="2" ht="24" customHeight="1">
      <c r="A2" s="1" t="inlineStr">
        <is>
          <t>Scoring: Lab 3 (4 Points) and Lab 4 (20 Points)</t>
        </is>
      </c>
    </row>
    <row r="3" ht="18" customHeight="1">
      <c r="A3" s="2" t="inlineStr">
        <is>
          <t>Self-score in column D; facilitator confirms in column E.</t>
        </is>
      </c>
    </row>
    <row r="4" ht="5" customHeight="1">
      <c r="A4" s="3" t="n"/>
      <c r="B4" s="3" t="n"/>
      <c r="C4" s="3" t="n"/>
      <c r="D4" s="3" t="n"/>
      <c r="E4" s="3" t="n"/>
    </row>
    <row r="5" ht="30" customHeight="1">
      <c r="A5" s="8" t="inlineStr">
        <is>
          <t>Criterion</t>
        </is>
      </c>
      <c r="B5" s="8" t="inlineStr">
        <is>
          <t>Full credit looks like</t>
        </is>
      </c>
      <c r="C5" s="8" t="inlineStr">
        <is>
          <t>Points</t>
        </is>
      </c>
      <c r="D5" s="8" t="inlineStr">
        <is>
          <t>Self score</t>
        </is>
      </c>
      <c r="E5" s="8" t="inlineStr">
        <is>
          <t>Facilitator score</t>
        </is>
      </c>
    </row>
    <row r="6" ht="40" customHeight="1">
      <c r="A6" s="7" t="inlineStr">
        <is>
          <t>Lab 3: Predictions first</t>
        </is>
      </c>
      <c r="B6" s="17" t="inlineStr">
        <is>
          <t>Predictions were recorded before any model run.</t>
        </is>
      </c>
      <c r="C6" s="17" t="n">
        <v>1</v>
      </c>
      <c r="D6" s="9" t="n"/>
      <c r="E6" s="9" t="n"/>
    </row>
    <row r="7" ht="40" customHeight="1">
      <c r="A7" s="7" t="inlineStr">
        <is>
          <t>Lab 3: False claims disproved</t>
        </is>
      </c>
      <c r="B7" s="17" t="inlineStr">
        <is>
          <t>Every false claim in the two AI outputs is listed with the command that disproves it.</t>
        </is>
      </c>
      <c r="C7" s="17" t="n">
        <v>1</v>
      </c>
      <c r="D7" s="9" t="n"/>
      <c r="E7" s="9" t="n"/>
    </row>
    <row r="8" ht="40" customHeight="1">
      <c r="A8" s="7" t="inlineStr">
        <is>
          <t>Lab 3: Two scales</t>
        </is>
      </c>
      <c r="B8" s="17" t="inlineStr">
        <is>
          <t>All four submissions scored on the legacy rubric and the three competency questions.</t>
        </is>
      </c>
      <c r="C8" s="17" t="n">
        <v>1</v>
      </c>
      <c r="D8" s="9" t="n"/>
      <c r="E8" s="9" t="n"/>
    </row>
    <row r="9" ht="40" customHeight="1">
      <c r="A9" s="7" t="inlineStr">
        <is>
          <t>Lab 3: Verdict</t>
        </is>
      </c>
      <c r="B9" s="17" t="inlineStr">
        <is>
          <t>The measures-versus-claims statement names the competency gap in one sentence.</t>
        </is>
      </c>
      <c r="C9" s="17" t="n">
        <v>1</v>
      </c>
      <c r="D9" s="9" t="n"/>
      <c r="E9" s="9" t="n"/>
    </row>
    <row r="10" ht="40" customHeight="1">
      <c r="A10" s="7" t="inlineStr">
        <is>
          <t>Threat model carried in</t>
        </is>
      </c>
      <c r="B10" s="17" t="inlineStr">
        <is>
          <t>The redesign names the gap Lab 3 found and the AI behaviors it must defeat (invented facts, missed finding, generic recommendations).</t>
        </is>
      </c>
      <c r="C10" s="17" t="n">
        <v>3</v>
      </c>
      <c r="D10" s="9" t="n"/>
      <c r="E10" s="9" t="n"/>
    </row>
    <row r="11" ht="40" customHeight="1">
      <c r="A11" s="7" t="inlineStr">
        <is>
          <t>Authentic performance and decision-making</t>
        </is>
      </c>
      <c r="B11" s="17" t="inlineStr">
        <is>
          <t>A real artifact for a named audience under a stated constraint; something unique per student; a decision whose justification carries points.</t>
        </is>
      </c>
      <c r="C11" s="17" t="n">
        <v>4</v>
      </c>
      <c r="D11" s="9" t="n"/>
      <c r="E11" s="9" t="n"/>
    </row>
    <row r="12" ht="40" customHeight="1">
      <c r="A12" s="7" t="inlineStr">
        <is>
          <t>Process evidence and technical validation</t>
        </is>
      </c>
      <c r="B12" s="17" t="inlineStr">
        <is>
          <t>Specific evidence named with retention terms; a validation step whose output is graded; no reliance on a detector.</t>
        </is>
      </c>
      <c r="C12" s="17" t="n">
        <v>4</v>
      </c>
      <c r="D12" s="9" t="n"/>
      <c r="E12" s="9" t="n"/>
    </row>
    <row r="13" ht="40" customHeight="1">
      <c r="A13" s="7" t="inlineStr">
        <is>
          <t>Accountability and rubric</t>
        </is>
      </c>
      <c r="B13" s="17" t="inlineStr">
        <is>
          <t>An oral or live component with author-only questions; four rewritten rubric rows that measure what the lane can claim.</t>
        </is>
      </c>
      <c r="C13" s="17" t="n">
        <v>3</v>
      </c>
      <c r="D13" s="9" t="n"/>
      <c r="E13" s="9" t="n"/>
    </row>
    <row r="14" ht="40" customHeight="1">
      <c r="A14" s="7" t="inlineStr">
        <is>
          <t>Syllabus guardrails</t>
        </is>
      </c>
      <c r="B14" s="17" t="inlineStr">
        <is>
          <t>All seven areas in student-actionable language; each tested against a scenario; consistent with the interim data policy, FERPA, and the Title II rule; assistive technology addressed.</t>
        </is>
      </c>
      <c r="C14" s="17" t="n">
        <v>4</v>
      </c>
      <c r="D14" s="9" t="n"/>
      <c r="E14" s="9" t="n"/>
    </row>
    <row r="15" ht="40" customHeight="1">
      <c r="A15" s="7" t="inlineStr">
        <is>
          <t>Own-assignment sprint and Evidence Log</t>
        </is>
      </c>
      <c r="B15" s="17" t="inlineStr">
        <is>
          <t>Canvas sections A to H attempted for one real assignment, C and E complete; log rows complete with validation decisions.</t>
        </is>
      </c>
      <c r="C15" s="17" t="n">
        <v>2</v>
      </c>
      <c r="D15" s="9" t="n"/>
      <c r="E15" s="9" t="n"/>
    </row>
    <row r="16">
      <c r="B16" s="7" t="inlineStr">
        <is>
          <t>Lab 3 total (of 4)</t>
        </is>
      </c>
      <c r="C16" s="10">
        <f>SUM(C6:C9)</f>
        <v/>
      </c>
      <c r="D16" s="10">
        <f>SUM(D6:D9)</f>
        <v/>
      </c>
      <c r="E16" s="10">
        <f>SUM(E6:E9)</f>
        <v/>
      </c>
    </row>
    <row r="17">
      <c r="B17" s="7" t="inlineStr">
        <is>
          <t>Lab 4 total (of 20)</t>
        </is>
      </c>
      <c r="C17" s="10">
        <f>SUM(C10:C15)</f>
        <v/>
      </c>
      <c r="D17" s="10">
        <f>SUM(D10:D15)</f>
        <v/>
      </c>
      <c r="E17" s="10">
        <f>SUM(E10:E15)</f>
        <v/>
      </c>
    </row>
    <row r="19">
      <c r="A19"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172B54"/>
    <outlinePr summaryBelow="1" summaryRight="1"/>
    <pageSetUpPr fitToPage="1"/>
  </sheetPr>
  <dimension ref="A2:M65"/>
  <sheetViews>
    <sheetView showGridLines="0" workbookViewId="0">
      <pane ySplit="5" topLeftCell="A6" activePane="bottomLeft" state="frozen"/>
      <selection pane="bottomLeft" activeCell="A1" sqref="A1"/>
    </sheetView>
  </sheetViews>
  <sheetFormatPr baseColWidth="8" defaultRowHeight="15"/>
  <cols>
    <col width="10" customWidth="1" min="1" max="1"/>
    <col width="16" customWidth="1" min="2" max="2"/>
    <col width="13" customWidth="1" min="3" max="3"/>
    <col width="16" customWidth="1" min="4" max="4"/>
    <col width="18" customWidth="1" min="5" max="5"/>
    <col width="18" customWidth="1" min="6" max="6"/>
    <col width="14" customWidth="1" min="7" max="7"/>
    <col width="40" customWidth="1" min="8" max="8"/>
    <col width="34" customWidth="1" min="9" max="9"/>
    <col width="34" customWidth="1" min="10" max="10"/>
    <col width="11" customWidth="1" min="11" max="11"/>
    <col width="14" customWidth="1" min="12" max="12"/>
    <col width="30" customWidth="1" min="13" max="13"/>
  </cols>
  <sheetData>
    <row r="1" ht="40" customHeight="1"/>
    <row r="2" ht="24" customHeight="1">
      <c r="A2" s="1" t="inlineStr">
        <is>
          <t>Evidence Log</t>
        </is>
      </c>
    </row>
    <row r="3" ht="18" customHeight="1">
      <c r="A3" s="2" t="inlineStr">
        <is>
          <t>One row per AI output you accept, revise, or reject. Same columns as Session 1.</t>
        </is>
      </c>
    </row>
    <row r="4" ht="5" customHeight="1">
      <c r="A4" s="3" t="n"/>
      <c r="B4" s="3" t="n"/>
      <c r="C4" s="3" t="n"/>
      <c r="D4" s="3" t="n"/>
      <c r="E4" s="3" t="n"/>
      <c r="F4" s="3" t="n"/>
      <c r="G4" s="3" t="n"/>
      <c r="H4" s="3" t="n"/>
      <c r="I4" s="3" t="n"/>
      <c r="J4" s="3" t="n"/>
      <c r="K4" s="3" t="n"/>
      <c r="L4" s="3" t="n"/>
      <c r="M4" s="3" t="n"/>
    </row>
    <row r="5" ht="30" customHeight="1">
      <c r="A5" s="8" t="inlineStr">
        <is>
          <t>Entry ID</t>
        </is>
      </c>
      <c r="B5" s="8" t="inlineStr">
        <is>
          <t>Date/Time</t>
        </is>
      </c>
      <c r="C5" s="8" t="inlineStr">
        <is>
          <t>Session / Lab</t>
        </is>
      </c>
      <c r="D5" s="8" t="inlineStr">
        <is>
          <t>Tool / Interface</t>
        </is>
      </c>
      <c r="E5" s="8" t="inlineStr">
        <is>
          <t>Model and Version</t>
        </is>
      </c>
      <c r="F5" s="8" t="inlineStr">
        <is>
          <t>Environment</t>
        </is>
      </c>
      <c r="G5" s="8" t="inlineStr">
        <is>
          <t>Highest Data Tier in Input</t>
        </is>
      </c>
      <c r="H5" s="8" t="inlineStr">
        <is>
          <t>Prompt (verbatim or file)</t>
        </is>
      </c>
      <c r="I5" s="8" t="inlineStr">
        <is>
          <t>Output Summary</t>
        </is>
      </c>
      <c r="J5" s="8" t="inlineStr">
        <is>
          <t>Validation Method</t>
        </is>
      </c>
      <c r="K5" s="8" t="inlineStr">
        <is>
          <t>Verdict</t>
        </is>
      </c>
      <c r="L5" s="8" t="inlineStr">
        <is>
          <t>Reviewer</t>
        </is>
      </c>
      <c r="M5" s="8" t="inlineStr">
        <is>
          <t>Notes</t>
        </is>
      </c>
    </row>
    <row r="6">
      <c r="A6" s="11" t="inlineStr">
        <is>
          <t>FS-07</t>
        </is>
      </c>
      <c r="B6" s="11" t="inlineStr">
        <is>
          <t>2026-10-30 14:48</t>
        </is>
      </c>
      <c r="C6" s="11" t="inlineStr">
        <is>
          <t>S2 Lab 3</t>
        </is>
      </c>
      <c r="D6" s="11" t="inlineStr">
        <is>
          <t>Ollama CLI</t>
        </is>
      </c>
      <c r="E6" s="11" t="inlineStr">
        <is>
          <t>gpt-oss:20b</t>
        </is>
      </c>
      <c r="F6" s="11" t="inlineStr">
        <is>
          <t>Local (range)</t>
        </is>
      </c>
      <c r="G6" s="11" t="inlineStr">
        <is>
          <t>Confidential</t>
        </is>
      </c>
      <c r="H6" s="11" t="inlineStr">
        <is>
          <t>~/lab3/solve_input.txt (CO-STAR solve prompt + assignment + log)</t>
        </is>
      </c>
      <c r="I6" s="11" t="inlineStr">
        <is>
          <t>Full incident report; 19/20 on legacy rubric; names 192.168.1.105</t>
        </is>
      </c>
      <c r="J6" s="11" t="inlineStr">
        <is>
          <t>for-ip loop against the log: 192.168.1.105 appears 0 times; grep for 'fail' finds an unsupported VPN claim</t>
        </is>
      </c>
      <c r="K6" s="11" t="inlineStr">
        <is>
          <t>Reject</t>
        </is>
      </c>
      <c r="L6" s="11" t="inlineStr">
        <is>
          <t>F. Smith</t>
        </is>
      </c>
      <c r="M6" s="11" t="inlineStr">
        <is>
          <t>Never mentions 10.30.12.118</t>
        </is>
      </c>
    </row>
    <row r="7">
      <c r="A7" s="9" t="n"/>
      <c r="B7" s="9" t="n"/>
      <c r="C7" s="9" t="n"/>
      <c r="D7" s="9" t="n"/>
      <c r="E7" s="9" t="n"/>
      <c r="F7" s="9" t="n"/>
      <c r="G7" s="9" t="n"/>
      <c r="H7" s="9" t="n"/>
      <c r="I7" s="9" t="n"/>
      <c r="J7" s="9" t="n"/>
      <c r="K7" s="9" t="n"/>
      <c r="L7" s="9" t="n"/>
      <c r="M7" s="9" t="n"/>
    </row>
    <row r="8">
      <c r="A8" s="9" t="n"/>
      <c r="B8" s="9" t="n"/>
      <c r="C8" s="9" t="n"/>
      <c r="D8" s="9" t="n"/>
      <c r="E8" s="9" t="n"/>
      <c r="F8" s="9" t="n"/>
      <c r="G8" s="9" t="n"/>
      <c r="H8" s="9" t="n"/>
      <c r="I8" s="9" t="n"/>
      <c r="J8" s="9" t="n"/>
      <c r="K8" s="9" t="n"/>
      <c r="L8" s="9" t="n"/>
      <c r="M8" s="9" t="n"/>
    </row>
    <row r="9">
      <c r="A9" s="9" t="n"/>
      <c r="B9" s="9" t="n"/>
      <c r="C9" s="9" t="n"/>
      <c r="D9" s="9" t="n"/>
      <c r="E9" s="9" t="n"/>
      <c r="F9" s="9" t="n"/>
      <c r="G9" s="9" t="n"/>
      <c r="H9" s="9" t="n"/>
      <c r="I9" s="9" t="n"/>
      <c r="J9" s="9" t="n"/>
      <c r="K9" s="9" t="n"/>
      <c r="L9" s="9" t="n"/>
      <c r="M9" s="9" t="n"/>
    </row>
    <row r="10">
      <c r="A10" s="9" t="n"/>
      <c r="B10" s="9" t="n"/>
      <c r="C10" s="9" t="n"/>
      <c r="D10" s="9" t="n"/>
      <c r="E10" s="9" t="n"/>
      <c r="F10" s="9" t="n"/>
      <c r="G10" s="9" t="n"/>
      <c r="H10" s="9" t="n"/>
      <c r="I10" s="9" t="n"/>
      <c r="J10" s="9" t="n"/>
      <c r="K10" s="9" t="n"/>
      <c r="L10" s="9" t="n"/>
      <c r="M10" s="9" t="n"/>
    </row>
    <row r="11">
      <c r="A11" s="9" t="n"/>
      <c r="B11" s="9" t="n"/>
      <c r="C11" s="9" t="n"/>
      <c r="D11" s="9" t="n"/>
      <c r="E11" s="9" t="n"/>
      <c r="F11" s="9" t="n"/>
      <c r="G11" s="9" t="n"/>
      <c r="H11" s="9" t="n"/>
      <c r="I11" s="9" t="n"/>
      <c r="J11" s="9" t="n"/>
      <c r="K11" s="9" t="n"/>
      <c r="L11" s="9" t="n"/>
      <c r="M11" s="9" t="n"/>
    </row>
    <row r="12">
      <c r="A12" s="9" t="n"/>
      <c r="B12" s="9" t="n"/>
      <c r="C12" s="9" t="n"/>
      <c r="D12" s="9" t="n"/>
      <c r="E12" s="9" t="n"/>
      <c r="F12" s="9" t="n"/>
      <c r="G12" s="9" t="n"/>
      <c r="H12" s="9" t="n"/>
      <c r="I12" s="9" t="n"/>
      <c r="J12" s="9" t="n"/>
      <c r="K12" s="9" t="n"/>
      <c r="L12" s="9" t="n"/>
      <c r="M12" s="9" t="n"/>
    </row>
    <row r="13">
      <c r="A13" s="9" t="n"/>
      <c r="B13" s="9" t="n"/>
      <c r="C13" s="9" t="n"/>
      <c r="D13" s="9" t="n"/>
      <c r="E13" s="9" t="n"/>
      <c r="F13" s="9" t="n"/>
      <c r="G13" s="9" t="n"/>
      <c r="H13" s="9" t="n"/>
      <c r="I13" s="9" t="n"/>
      <c r="J13" s="9" t="n"/>
      <c r="K13" s="9" t="n"/>
      <c r="L13" s="9" t="n"/>
      <c r="M13" s="9" t="n"/>
    </row>
    <row r="14">
      <c r="A14" s="9" t="n"/>
      <c r="B14" s="9" t="n"/>
      <c r="C14" s="9" t="n"/>
      <c r="D14" s="9" t="n"/>
      <c r="E14" s="9" t="n"/>
      <c r="F14" s="9" t="n"/>
      <c r="G14" s="9" t="n"/>
      <c r="H14" s="9" t="n"/>
      <c r="I14" s="9" t="n"/>
      <c r="J14" s="9" t="n"/>
      <c r="K14" s="9" t="n"/>
      <c r="L14" s="9" t="n"/>
      <c r="M14" s="9" t="n"/>
    </row>
    <row r="15">
      <c r="A15" s="9" t="n"/>
      <c r="B15" s="9" t="n"/>
      <c r="C15" s="9" t="n"/>
      <c r="D15" s="9" t="n"/>
      <c r="E15" s="9" t="n"/>
      <c r="F15" s="9" t="n"/>
      <c r="G15" s="9" t="n"/>
      <c r="H15" s="9" t="n"/>
      <c r="I15" s="9" t="n"/>
      <c r="J15" s="9" t="n"/>
      <c r="K15" s="9" t="n"/>
      <c r="L15" s="9" t="n"/>
      <c r="M15" s="9" t="n"/>
    </row>
    <row r="16">
      <c r="A16" s="9" t="n"/>
      <c r="B16" s="9" t="n"/>
      <c r="C16" s="9" t="n"/>
      <c r="D16" s="9" t="n"/>
      <c r="E16" s="9" t="n"/>
      <c r="F16" s="9" t="n"/>
      <c r="G16" s="9" t="n"/>
      <c r="H16" s="9" t="n"/>
      <c r="I16" s="9" t="n"/>
      <c r="J16" s="9" t="n"/>
      <c r="K16" s="9" t="n"/>
      <c r="L16" s="9" t="n"/>
      <c r="M16" s="9" t="n"/>
    </row>
    <row r="17">
      <c r="A17" s="9" t="n"/>
      <c r="B17" s="9" t="n"/>
      <c r="C17" s="9" t="n"/>
      <c r="D17" s="9" t="n"/>
      <c r="E17" s="9" t="n"/>
      <c r="F17" s="9" t="n"/>
      <c r="G17" s="9" t="n"/>
      <c r="H17" s="9" t="n"/>
      <c r="I17" s="9" t="n"/>
      <c r="J17" s="9" t="n"/>
      <c r="K17" s="9" t="n"/>
      <c r="L17" s="9" t="n"/>
      <c r="M17" s="9" t="n"/>
    </row>
    <row r="18">
      <c r="A18" s="9" t="n"/>
      <c r="B18" s="9" t="n"/>
      <c r="C18" s="9" t="n"/>
      <c r="D18" s="9" t="n"/>
      <c r="E18" s="9" t="n"/>
      <c r="F18" s="9" t="n"/>
      <c r="G18" s="9" t="n"/>
      <c r="H18" s="9" t="n"/>
      <c r="I18" s="9" t="n"/>
      <c r="J18" s="9" t="n"/>
      <c r="K18" s="9" t="n"/>
      <c r="L18" s="9" t="n"/>
      <c r="M18" s="9" t="n"/>
    </row>
    <row r="19">
      <c r="A19" s="9" t="n"/>
      <c r="B19" s="9" t="n"/>
      <c r="C19" s="9" t="n"/>
      <c r="D19" s="9" t="n"/>
      <c r="E19" s="9" t="n"/>
      <c r="F19" s="9" t="n"/>
      <c r="G19" s="9" t="n"/>
      <c r="H19" s="9" t="n"/>
      <c r="I19" s="9" t="n"/>
      <c r="J19" s="9" t="n"/>
      <c r="K19" s="9" t="n"/>
      <c r="L19" s="9" t="n"/>
      <c r="M19" s="9" t="n"/>
    </row>
    <row r="20">
      <c r="A20" s="9" t="n"/>
      <c r="B20" s="9" t="n"/>
      <c r="C20" s="9" t="n"/>
      <c r="D20" s="9" t="n"/>
      <c r="E20" s="9" t="n"/>
      <c r="F20" s="9" t="n"/>
      <c r="G20" s="9" t="n"/>
      <c r="H20" s="9" t="n"/>
      <c r="I20" s="9" t="n"/>
      <c r="J20" s="9" t="n"/>
      <c r="K20" s="9" t="n"/>
      <c r="L20" s="9" t="n"/>
      <c r="M20" s="9" t="n"/>
    </row>
    <row r="21">
      <c r="A21" s="9" t="n"/>
      <c r="B21" s="9" t="n"/>
      <c r="C21" s="9" t="n"/>
      <c r="D21" s="9" t="n"/>
      <c r="E21" s="9" t="n"/>
      <c r="F21" s="9" t="n"/>
      <c r="G21" s="9" t="n"/>
      <c r="H21" s="9" t="n"/>
      <c r="I21" s="9" t="n"/>
      <c r="J21" s="9" t="n"/>
      <c r="K21" s="9" t="n"/>
      <c r="L21" s="9" t="n"/>
      <c r="M21" s="9" t="n"/>
    </row>
    <row r="22">
      <c r="A22" s="9" t="n"/>
      <c r="B22" s="9" t="n"/>
      <c r="C22" s="9" t="n"/>
      <c r="D22" s="9" t="n"/>
      <c r="E22" s="9" t="n"/>
      <c r="F22" s="9" t="n"/>
      <c r="G22" s="9" t="n"/>
      <c r="H22" s="9" t="n"/>
      <c r="I22" s="9" t="n"/>
      <c r="J22" s="9" t="n"/>
      <c r="K22" s="9" t="n"/>
      <c r="L22" s="9" t="n"/>
      <c r="M22" s="9" t="n"/>
    </row>
    <row r="23">
      <c r="A23" s="9" t="n"/>
      <c r="B23" s="9" t="n"/>
      <c r="C23" s="9" t="n"/>
      <c r="D23" s="9" t="n"/>
      <c r="E23" s="9" t="n"/>
      <c r="F23" s="9" t="n"/>
      <c r="G23" s="9" t="n"/>
      <c r="H23" s="9" t="n"/>
      <c r="I23" s="9" t="n"/>
      <c r="J23" s="9" t="n"/>
      <c r="K23" s="9" t="n"/>
      <c r="L23" s="9" t="n"/>
      <c r="M23" s="9" t="n"/>
    </row>
    <row r="24">
      <c r="A24" s="9" t="n"/>
      <c r="B24" s="9" t="n"/>
      <c r="C24" s="9" t="n"/>
      <c r="D24" s="9" t="n"/>
      <c r="E24" s="9" t="n"/>
      <c r="F24" s="9" t="n"/>
      <c r="G24" s="9" t="n"/>
      <c r="H24" s="9" t="n"/>
      <c r="I24" s="9" t="n"/>
      <c r="J24" s="9" t="n"/>
      <c r="K24" s="9" t="n"/>
      <c r="L24" s="9" t="n"/>
      <c r="M24" s="9" t="n"/>
    </row>
    <row r="25">
      <c r="A25" s="9" t="n"/>
      <c r="B25" s="9" t="n"/>
      <c r="C25" s="9" t="n"/>
      <c r="D25" s="9" t="n"/>
      <c r="E25" s="9" t="n"/>
      <c r="F25" s="9" t="n"/>
      <c r="G25" s="9" t="n"/>
      <c r="H25" s="9" t="n"/>
      <c r="I25" s="9" t="n"/>
      <c r="J25" s="9" t="n"/>
      <c r="K25" s="9" t="n"/>
      <c r="L25" s="9" t="n"/>
      <c r="M25" s="9" t="n"/>
    </row>
    <row r="26">
      <c r="A26" s="9" t="n"/>
      <c r="B26" s="9" t="n"/>
      <c r="C26" s="9" t="n"/>
      <c r="D26" s="9" t="n"/>
      <c r="E26" s="9" t="n"/>
      <c r="F26" s="9" t="n"/>
      <c r="G26" s="9" t="n"/>
      <c r="H26" s="9" t="n"/>
      <c r="I26" s="9" t="n"/>
      <c r="J26" s="9" t="n"/>
      <c r="K26" s="9" t="n"/>
      <c r="L26" s="9" t="n"/>
      <c r="M26" s="9" t="n"/>
    </row>
    <row r="27">
      <c r="A27" s="9" t="n"/>
      <c r="B27" s="9" t="n"/>
      <c r="C27" s="9" t="n"/>
      <c r="D27" s="9" t="n"/>
      <c r="E27" s="9" t="n"/>
      <c r="F27" s="9" t="n"/>
      <c r="G27" s="9" t="n"/>
      <c r="H27" s="9" t="n"/>
      <c r="I27" s="9" t="n"/>
      <c r="J27" s="9" t="n"/>
      <c r="K27" s="9" t="n"/>
      <c r="L27" s="9" t="n"/>
      <c r="M27" s="9" t="n"/>
    </row>
    <row r="28">
      <c r="A28" s="9" t="n"/>
      <c r="B28" s="9" t="n"/>
      <c r="C28" s="9" t="n"/>
      <c r="D28" s="9" t="n"/>
      <c r="E28" s="9" t="n"/>
      <c r="F28" s="9" t="n"/>
      <c r="G28" s="9" t="n"/>
      <c r="H28" s="9" t="n"/>
      <c r="I28" s="9" t="n"/>
      <c r="J28" s="9" t="n"/>
      <c r="K28" s="9" t="n"/>
      <c r="L28" s="9" t="n"/>
      <c r="M28" s="9" t="n"/>
    </row>
    <row r="29">
      <c r="A29" s="9" t="n"/>
      <c r="B29" s="9" t="n"/>
      <c r="C29" s="9" t="n"/>
      <c r="D29" s="9" t="n"/>
      <c r="E29" s="9" t="n"/>
      <c r="F29" s="9" t="n"/>
      <c r="G29" s="9" t="n"/>
      <c r="H29" s="9" t="n"/>
      <c r="I29" s="9" t="n"/>
      <c r="J29" s="9" t="n"/>
      <c r="K29" s="9" t="n"/>
      <c r="L29" s="9" t="n"/>
      <c r="M29" s="9" t="n"/>
    </row>
    <row r="30">
      <c r="A30" s="9" t="n"/>
      <c r="B30" s="9" t="n"/>
      <c r="C30" s="9" t="n"/>
      <c r="D30" s="9" t="n"/>
      <c r="E30" s="9" t="n"/>
      <c r="F30" s="9" t="n"/>
      <c r="G30" s="9" t="n"/>
      <c r="H30" s="9" t="n"/>
      <c r="I30" s="9" t="n"/>
      <c r="J30" s="9" t="n"/>
      <c r="K30" s="9" t="n"/>
      <c r="L30" s="9" t="n"/>
      <c r="M30" s="9" t="n"/>
    </row>
    <row r="31">
      <c r="A31" s="9" t="n"/>
      <c r="B31" s="9" t="n"/>
      <c r="C31" s="9" t="n"/>
      <c r="D31" s="9" t="n"/>
      <c r="E31" s="9" t="n"/>
      <c r="F31" s="9" t="n"/>
      <c r="G31" s="9" t="n"/>
      <c r="H31" s="9" t="n"/>
      <c r="I31" s="9" t="n"/>
      <c r="J31" s="9" t="n"/>
      <c r="K31" s="9" t="n"/>
      <c r="L31" s="9" t="n"/>
      <c r="M31" s="9" t="n"/>
    </row>
    <row r="32">
      <c r="A32" s="9" t="n"/>
      <c r="B32" s="9" t="n"/>
      <c r="C32" s="9" t="n"/>
      <c r="D32" s="9" t="n"/>
      <c r="E32" s="9" t="n"/>
      <c r="F32" s="9" t="n"/>
      <c r="G32" s="9" t="n"/>
      <c r="H32" s="9" t="n"/>
      <c r="I32" s="9" t="n"/>
      <c r="J32" s="9" t="n"/>
      <c r="K32" s="9" t="n"/>
      <c r="L32" s="9" t="n"/>
      <c r="M32" s="9" t="n"/>
    </row>
    <row r="33">
      <c r="A33" s="9" t="n"/>
      <c r="B33" s="9" t="n"/>
      <c r="C33" s="9" t="n"/>
      <c r="D33" s="9" t="n"/>
      <c r="E33" s="9" t="n"/>
      <c r="F33" s="9" t="n"/>
      <c r="G33" s="9" t="n"/>
      <c r="H33" s="9" t="n"/>
      <c r="I33" s="9" t="n"/>
      <c r="J33" s="9" t="n"/>
      <c r="K33" s="9" t="n"/>
      <c r="L33" s="9" t="n"/>
      <c r="M33" s="9" t="n"/>
    </row>
    <row r="34">
      <c r="A34" s="9" t="n"/>
      <c r="B34" s="9" t="n"/>
      <c r="C34" s="9" t="n"/>
      <c r="D34" s="9" t="n"/>
      <c r="E34" s="9" t="n"/>
      <c r="F34" s="9" t="n"/>
      <c r="G34" s="9" t="n"/>
      <c r="H34" s="9" t="n"/>
      <c r="I34" s="9" t="n"/>
      <c r="J34" s="9" t="n"/>
      <c r="K34" s="9" t="n"/>
      <c r="L34" s="9" t="n"/>
      <c r="M34" s="9" t="n"/>
    </row>
    <row r="35">
      <c r="A35" s="9" t="n"/>
      <c r="B35" s="9" t="n"/>
      <c r="C35" s="9" t="n"/>
      <c r="D35" s="9" t="n"/>
      <c r="E35" s="9" t="n"/>
      <c r="F35" s="9" t="n"/>
      <c r="G35" s="9" t="n"/>
      <c r="H35" s="9" t="n"/>
      <c r="I35" s="9" t="n"/>
      <c r="J35" s="9" t="n"/>
      <c r="K35" s="9" t="n"/>
      <c r="L35" s="9" t="n"/>
      <c r="M35" s="9" t="n"/>
    </row>
    <row r="36">
      <c r="A36" s="9" t="n"/>
      <c r="B36" s="9" t="n"/>
      <c r="C36" s="9" t="n"/>
      <c r="D36" s="9" t="n"/>
      <c r="E36" s="9" t="n"/>
      <c r="F36" s="9" t="n"/>
      <c r="G36" s="9" t="n"/>
      <c r="H36" s="9" t="n"/>
      <c r="I36" s="9" t="n"/>
      <c r="J36" s="9" t="n"/>
      <c r="K36" s="9" t="n"/>
      <c r="L36" s="9" t="n"/>
      <c r="M36" s="9" t="n"/>
    </row>
    <row r="37">
      <c r="A37" s="9" t="n"/>
      <c r="B37" s="9" t="n"/>
      <c r="C37" s="9" t="n"/>
      <c r="D37" s="9" t="n"/>
      <c r="E37" s="9" t="n"/>
      <c r="F37" s="9" t="n"/>
      <c r="G37" s="9" t="n"/>
      <c r="H37" s="9" t="n"/>
      <c r="I37" s="9" t="n"/>
      <c r="J37" s="9" t="n"/>
      <c r="K37" s="9" t="n"/>
      <c r="L37" s="9" t="n"/>
      <c r="M37" s="9" t="n"/>
    </row>
    <row r="38">
      <c r="A38" s="9" t="n"/>
      <c r="B38" s="9" t="n"/>
      <c r="C38" s="9" t="n"/>
      <c r="D38" s="9" t="n"/>
      <c r="E38" s="9" t="n"/>
      <c r="F38" s="9" t="n"/>
      <c r="G38" s="9" t="n"/>
      <c r="H38" s="9" t="n"/>
      <c r="I38" s="9" t="n"/>
      <c r="J38" s="9" t="n"/>
      <c r="K38" s="9" t="n"/>
      <c r="L38" s="9" t="n"/>
      <c r="M38" s="9" t="n"/>
    </row>
    <row r="39">
      <c r="A39" s="9" t="n"/>
      <c r="B39" s="9" t="n"/>
      <c r="C39" s="9" t="n"/>
      <c r="D39" s="9" t="n"/>
      <c r="E39" s="9" t="n"/>
      <c r="F39" s="9" t="n"/>
      <c r="G39" s="9" t="n"/>
      <c r="H39" s="9" t="n"/>
      <c r="I39" s="9" t="n"/>
      <c r="J39" s="9" t="n"/>
      <c r="K39" s="9" t="n"/>
      <c r="L39" s="9" t="n"/>
      <c r="M39" s="9" t="n"/>
    </row>
    <row r="40">
      <c r="A40" s="9" t="n"/>
      <c r="B40" s="9" t="n"/>
      <c r="C40" s="9" t="n"/>
      <c r="D40" s="9" t="n"/>
      <c r="E40" s="9" t="n"/>
      <c r="F40" s="9" t="n"/>
      <c r="G40" s="9" t="n"/>
      <c r="H40" s="9" t="n"/>
      <c r="I40" s="9" t="n"/>
      <c r="J40" s="9" t="n"/>
      <c r="K40" s="9" t="n"/>
      <c r="L40" s="9" t="n"/>
      <c r="M40" s="9" t="n"/>
    </row>
    <row r="41">
      <c r="A41" s="9" t="n"/>
      <c r="B41" s="9" t="n"/>
      <c r="C41" s="9" t="n"/>
      <c r="D41" s="9" t="n"/>
      <c r="E41" s="9" t="n"/>
      <c r="F41" s="9" t="n"/>
      <c r="G41" s="9" t="n"/>
      <c r="H41" s="9" t="n"/>
      <c r="I41" s="9" t="n"/>
      <c r="J41" s="9" t="n"/>
      <c r="K41" s="9" t="n"/>
      <c r="L41" s="9" t="n"/>
      <c r="M41" s="9" t="n"/>
    </row>
    <row r="42">
      <c r="A42" s="9" t="n"/>
      <c r="B42" s="9" t="n"/>
      <c r="C42" s="9" t="n"/>
      <c r="D42" s="9" t="n"/>
      <c r="E42" s="9" t="n"/>
      <c r="F42" s="9" t="n"/>
      <c r="G42" s="9" t="n"/>
      <c r="H42" s="9" t="n"/>
      <c r="I42" s="9" t="n"/>
      <c r="J42" s="9" t="n"/>
      <c r="K42" s="9" t="n"/>
      <c r="L42" s="9" t="n"/>
      <c r="M42" s="9" t="n"/>
    </row>
    <row r="43">
      <c r="A43" s="9" t="n"/>
      <c r="B43" s="9" t="n"/>
      <c r="C43" s="9" t="n"/>
      <c r="D43" s="9" t="n"/>
      <c r="E43" s="9" t="n"/>
      <c r="F43" s="9" t="n"/>
      <c r="G43" s="9" t="n"/>
      <c r="H43" s="9" t="n"/>
      <c r="I43" s="9" t="n"/>
      <c r="J43" s="9" t="n"/>
      <c r="K43" s="9" t="n"/>
      <c r="L43" s="9" t="n"/>
      <c r="M43" s="9" t="n"/>
    </row>
    <row r="44">
      <c r="A44" s="9" t="n"/>
      <c r="B44" s="9" t="n"/>
      <c r="C44" s="9" t="n"/>
      <c r="D44" s="9" t="n"/>
      <c r="E44" s="9" t="n"/>
      <c r="F44" s="9" t="n"/>
      <c r="G44" s="9" t="n"/>
      <c r="H44" s="9" t="n"/>
      <c r="I44" s="9" t="n"/>
      <c r="J44" s="9" t="n"/>
      <c r="K44" s="9" t="n"/>
      <c r="L44" s="9" t="n"/>
      <c r="M44" s="9" t="n"/>
    </row>
    <row r="45">
      <c r="A45" s="9" t="n"/>
      <c r="B45" s="9" t="n"/>
      <c r="C45" s="9" t="n"/>
      <c r="D45" s="9" t="n"/>
      <c r="E45" s="9" t="n"/>
      <c r="F45" s="9" t="n"/>
      <c r="G45" s="9" t="n"/>
      <c r="H45" s="9" t="n"/>
      <c r="I45" s="9" t="n"/>
      <c r="J45" s="9" t="n"/>
      <c r="K45" s="9" t="n"/>
      <c r="L45" s="9" t="n"/>
      <c r="M45" s="9" t="n"/>
    </row>
    <row r="46">
      <c r="A46" s="9" t="n"/>
      <c r="B46" s="9" t="n"/>
      <c r="C46" s="9" t="n"/>
      <c r="D46" s="9" t="n"/>
      <c r="E46" s="9" t="n"/>
      <c r="F46" s="9" t="n"/>
      <c r="G46" s="9" t="n"/>
      <c r="H46" s="9" t="n"/>
      <c r="I46" s="9" t="n"/>
      <c r="J46" s="9" t="n"/>
      <c r="K46" s="9" t="n"/>
      <c r="L46" s="9" t="n"/>
      <c r="M46" s="9" t="n"/>
    </row>
    <row r="47">
      <c r="A47" s="9" t="n"/>
      <c r="B47" s="9" t="n"/>
      <c r="C47" s="9" t="n"/>
      <c r="D47" s="9" t="n"/>
      <c r="E47" s="9" t="n"/>
      <c r="F47" s="9" t="n"/>
      <c r="G47" s="9" t="n"/>
      <c r="H47" s="9" t="n"/>
      <c r="I47" s="9" t="n"/>
      <c r="J47" s="9" t="n"/>
      <c r="K47" s="9" t="n"/>
      <c r="L47" s="9" t="n"/>
      <c r="M47" s="9" t="n"/>
    </row>
    <row r="48">
      <c r="A48" s="9" t="n"/>
      <c r="B48" s="9" t="n"/>
      <c r="C48" s="9" t="n"/>
      <c r="D48" s="9" t="n"/>
      <c r="E48" s="9" t="n"/>
      <c r="F48" s="9" t="n"/>
      <c r="G48" s="9" t="n"/>
      <c r="H48" s="9" t="n"/>
      <c r="I48" s="9" t="n"/>
      <c r="J48" s="9" t="n"/>
      <c r="K48" s="9" t="n"/>
      <c r="L48" s="9" t="n"/>
      <c r="M48" s="9" t="n"/>
    </row>
    <row r="49">
      <c r="A49" s="9" t="n"/>
      <c r="B49" s="9" t="n"/>
      <c r="C49" s="9" t="n"/>
      <c r="D49" s="9" t="n"/>
      <c r="E49" s="9" t="n"/>
      <c r="F49" s="9" t="n"/>
      <c r="G49" s="9" t="n"/>
      <c r="H49" s="9" t="n"/>
      <c r="I49" s="9" t="n"/>
      <c r="J49" s="9" t="n"/>
      <c r="K49" s="9" t="n"/>
      <c r="L49" s="9" t="n"/>
      <c r="M49" s="9" t="n"/>
    </row>
    <row r="50">
      <c r="A50" s="9" t="n"/>
      <c r="B50" s="9" t="n"/>
      <c r="C50" s="9" t="n"/>
      <c r="D50" s="9" t="n"/>
      <c r="E50" s="9" t="n"/>
      <c r="F50" s="9" t="n"/>
      <c r="G50" s="9" t="n"/>
      <c r="H50" s="9" t="n"/>
      <c r="I50" s="9" t="n"/>
      <c r="J50" s="9" t="n"/>
      <c r="K50" s="9" t="n"/>
      <c r="L50" s="9" t="n"/>
      <c r="M50" s="9" t="n"/>
    </row>
    <row r="51">
      <c r="A51" s="9" t="n"/>
      <c r="B51" s="9" t="n"/>
      <c r="C51" s="9" t="n"/>
      <c r="D51" s="9" t="n"/>
      <c r="E51" s="9" t="n"/>
      <c r="F51" s="9" t="n"/>
      <c r="G51" s="9" t="n"/>
      <c r="H51" s="9" t="n"/>
      <c r="I51" s="9" t="n"/>
      <c r="J51" s="9" t="n"/>
      <c r="K51" s="9" t="n"/>
      <c r="L51" s="9" t="n"/>
      <c r="M51" s="9" t="n"/>
    </row>
    <row r="52">
      <c r="A52" s="9" t="n"/>
      <c r="B52" s="9" t="n"/>
      <c r="C52" s="9" t="n"/>
      <c r="D52" s="9" t="n"/>
      <c r="E52" s="9" t="n"/>
      <c r="F52" s="9" t="n"/>
      <c r="G52" s="9" t="n"/>
      <c r="H52" s="9" t="n"/>
      <c r="I52" s="9" t="n"/>
      <c r="J52" s="9" t="n"/>
      <c r="K52" s="9" t="n"/>
      <c r="L52" s="9" t="n"/>
      <c r="M52" s="9" t="n"/>
    </row>
    <row r="53">
      <c r="A53" s="9" t="n"/>
      <c r="B53" s="9" t="n"/>
      <c r="C53" s="9" t="n"/>
      <c r="D53" s="9" t="n"/>
      <c r="E53" s="9" t="n"/>
      <c r="F53" s="9" t="n"/>
      <c r="G53" s="9" t="n"/>
      <c r="H53" s="9" t="n"/>
      <c r="I53" s="9" t="n"/>
      <c r="J53" s="9" t="n"/>
      <c r="K53" s="9" t="n"/>
      <c r="L53" s="9" t="n"/>
      <c r="M53" s="9" t="n"/>
    </row>
    <row r="54">
      <c r="A54" s="9" t="n"/>
      <c r="B54" s="9" t="n"/>
      <c r="C54" s="9" t="n"/>
      <c r="D54" s="9" t="n"/>
      <c r="E54" s="9" t="n"/>
      <c r="F54" s="9" t="n"/>
      <c r="G54" s="9" t="n"/>
      <c r="H54" s="9" t="n"/>
      <c r="I54" s="9" t="n"/>
      <c r="J54" s="9" t="n"/>
      <c r="K54" s="9" t="n"/>
      <c r="L54" s="9" t="n"/>
      <c r="M54" s="9" t="n"/>
    </row>
    <row r="55">
      <c r="A55" s="9" t="n"/>
      <c r="B55" s="9" t="n"/>
      <c r="C55" s="9" t="n"/>
      <c r="D55" s="9" t="n"/>
      <c r="E55" s="9" t="n"/>
      <c r="F55" s="9" t="n"/>
      <c r="G55" s="9" t="n"/>
      <c r="H55" s="9" t="n"/>
      <c r="I55" s="9" t="n"/>
      <c r="J55" s="9" t="n"/>
      <c r="K55" s="9" t="n"/>
      <c r="L55" s="9" t="n"/>
      <c r="M55" s="9" t="n"/>
    </row>
    <row r="56">
      <c r="A56" s="9" t="n"/>
      <c r="B56" s="9" t="n"/>
      <c r="C56" s="9" t="n"/>
      <c r="D56" s="9" t="n"/>
      <c r="E56" s="9" t="n"/>
      <c r="F56" s="9" t="n"/>
      <c r="G56" s="9" t="n"/>
      <c r="H56" s="9" t="n"/>
      <c r="I56" s="9" t="n"/>
      <c r="J56" s="9" t="n"/>
      <c r="K56" s="9" t="n"/>
      <c r="L56" s="9" t="n"/>
      <c r="M56" s="9" t="n"/>
    </row>
    <row r="57">
      <c r="A57" s="9" t="n"/>
      <c r="B57" s="9" t="n"/>
      <c r="C57" s="9" t="n"/>
      <c r="D57" s="9" t="n"/>
      <c r="E57" s="9" t="n"/>
      <c r="F57" s="9" t="n"/>
      <c r="G57" s="9" t="n"/>
      <c r="H57" s="9" t="n"/>
      <c r="I57" s="9" t="n"/>
      <c r="J57" s="9" t="n"/>
      <c r="K57" s="9" t="n"/>
      <c r="L57" s="9" t="n"/>
      <c r="M57" s="9" t="n"/>
    </row>
    <row r="58">
      <c r="A58" s="9" t="n"/>
      <c r="B58" s="9" t="n"/>
      <c r="C58" s="9" t="n"/>
      <c r="D58" s="9" t="n"/>
      <c r="E58" s="9" t="n"/>
      <c r="F58" s="9" t="n"/>
      <c r="G58" s="9" t="n"/>
      <c r="H58" s="9" t="n"/>
      <c r="I58" s="9" t="n"/>
      <c r="J58" s="9" t="n"/>
      <c r="K58" s="9" t="n"/>
      <c r="L58" s="9" t="n"/>
      <c r="M58" s="9" t="n"/>
    </row>
    <row r="59">
      <c r="A59" s="9" t="n"/>
      <c r="B59" s="9" t="n"/>
      <c r="C59" s="9" t="n"/>
      <c r="D59" s="9" t="n"/>
      <c r="E59" s="9" t="n"/>
      <c r="F59" s="9" t="n"/>
      <c r="G59" s="9" t="n"/>
      <c r="H59" s="9" t="n"/>
      <c r="I59" s="9" t="n"/>
      <c r="J59" s="9" t="n"/>
      <c r="K59" s="9" t="n"/>
      <c r="L59" s="9" t="n"/>
      <c r="M59" s="9" t="n"/>
    </row>
    <row r="60">
      <c r="A60" s="9" t="n"/>
      <c r="B60" s="9" t="n"/>
      <c r="C60" s="9" t="n"/>
      <c r="D60" s="9" t="n"/>
      <c r="E60" s="9" t="n"/>
      <c r="F60" s="9" t="n"/>
      <c r="G60" s="9" t="n"/>
      <c r="H60" s="9" t="n"/>
      <c r="I60" s="9" t="n"/>
      <c r="J60" s="9" t="n"/>
      <c r="K60" s="9" t="n"/>
      <c r="L60" s="9" t="n"/>
      <c r="M60" s="9" t="n"/>
    </row>
    <row r="62">
      <c r="A62" s="18" t="inlineStr">
        <is>
          <t>Entries logged (excluding example):</t>
        </is>
      </c>
      <c r="E62" s="16">
        <f>COUNTA(A7:A60)</f>
        <v/>
      </c>
    </row>
    <row r="63">
      <c r="A63" s="18" t="inlineStr">
        <is>
          <t>Rejected or revised:</t>
        </is>
      </c>
      <c r="E63" s="16">
        <f>COUNTIF(K7:K60,"Reject")+COUNTIF(K7:K60,"Revise")</f>
        <v/>
      </c>
    </row>
    <row r="65">
      <c r="A65" s="6" t="inlineStr">
        <is>
          <t>This material is based upon work supported by the U.S. National Science Foundation under Grant No. 2300188. Any opinions, findings, and conclusions or recommendations expressed in this material are those of the author(s) and do not necessarily reflect the views of the National Science Foundation.</t>
        </is>
      </c>
    </row>
  </sheetData>
  <dataValidations count="4">
    <dataValidation sqref="F6:F60" showDropDown="0" showInputMessage="0" showErrorMessage="0" allowBlank="1" type="list">
      <formula1>"Local (range),Hosted (licensed),Hosted (consumer),OpenRouter (facilitator)"</formula1>
    </dataValidation>
    <dataValidation sqref="G6:G60" showDropDown="0" showInputMessage="0" showErrorMessage="0" allowBlank="1" type="list">
      <formula1>"Public,Internal,Confidential,Restricted"</formula1>
    </dataValidation>
    <dataValidation sqref="K6:K60" showDropDown="0" showInputMessage="0" showErrorMessage="0" allowBlank="1" type="list">
      <formula1>"Accept,Revise,Reject"</formula1>
    </dataValidation>
    <dataValidation sqref="C6:C60" showDropDown="0" showInputMessage="0" showErrorMessage="0" allowBlank="1" type="list">
      <formula1>"S1 Lab 1,S1 Lab 2,S2 Lab 3,S2 Lab 4,S3 Lab 5,S3 Lab 6,S4 Lab 7,S4 Lab 8,S5 Lab 9,S5 Lab 10"</formula1>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2026-10-17T13:56:45Z</dcterms:created>
  <dcterms:modified xmlns:dcterms="http://purl.org/dc/terms/" xmlns:xsi="http://www.w3.org/2001/XMLSchema-instance" xsi:type="dcterms:W3CDTF">2026-10-17T13:56:45Z</dcterms:modified>
</cp:coreProperties>
</file>